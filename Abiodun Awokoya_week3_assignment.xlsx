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5BCE9508-2F4A-4C24-9BF9-5E19AF264416}" xr6:coauthVersionLast="47" xr6:coauthVersionMax="47" xr10:uidLastSave="{00000000-0000-0000-0000-000000000000}"/>
  <bookViews>
    <workbookView xWindow="-120" yWindow="-120" windowWidth="20730" windowHeight="11040" activeTab="1" xr2:uid="{00000000-000D-0000-FFFF-FFFF00000000}"/>
  </bookViews>
  <sheets>
    <sheet name="Sheet1" sheetId="3" r:id="rId1"/>
    <sheet name="Pivot" sheetId="4" r:id="rId2"/>
    <sheet name="Expenses" sheetId="1" r:id="rId3"/>
    <sheet name="Answer Sheet" sheetId="2" r:id="rId4"/>
  </sheets>
  <definedNames>
    <definedName name="Slicer_Category">#N/A</definedName>
    <definedName name="Slicer_Category1">#N/A</definedName>
    <definedName name="Slicer_Month">#N/A</definedName>
    <definedName name="Slicer_Month1">#N/A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 r="J3" i="1"/>
  <c r="L9" i="1"/>
  <c r="L12" i="1"/>
  <c r="K10" i="1"/>
  <c r="J7" i="1"/>
</calcChain>
</file>

<file path=xl/sharedStrings.xml><?xml version="1.0" encoding="utf-8"?>
<sst xmlns="http://schemas.openxmlformats.org/spreadsheetml/2006/main" count="187" uniqueCount="65">
  <si>
    <t>Month</t>
  </si>
  <si>
    <t>Category</t>
  </si>
  <si>
    <t>Description</t>
  </si>
  <si>
    <t>Amount (₦)</t>
  </si>
  <si>
    <t>Payment Method</t>
  </si>
  <si>
    <t>Approved</t>
  </si>
  <si>
    <t>January</t>
  </si>
  <si>
    <t>Food</t>
  </si>
  <si>
    <t>Cafeteria supplies</t>
  </si>
  <si>
    <t>Cash</t>
  </si>
  <si>
    <t>Yes</t>
  </si>
  <si>
    <t>Transport</t>
  </si>
  <si>
    <t>Fuel allowance</t>
  </si>
  <si>
    <t>Bank Transfer</t>
  </si>
  <si>
    <t>Utilities</t>
  </si>
  <si>
    <t>Electricity bill</t>
  </si>
  <si>
    <t>Stationery</t>
  </si>
  <si>
    <t>Office paper &amp; pens</t>
  </si>
  <si>
    <t>Maintenance</t>
  </si>
  <si>
    <t>Generator repair</t>
  </si>
  <si>
    <t>Cheque</t>
  </si>
  <si>
    <t>February</t>
  </si>
  <si>
    <t>Entertainment</t>
  </si>
  <si>
    <t>Team lunch outing</t>
  </si>
  <si>
    <t>Miscellaneous</t>
  </si>
  <si>
    <t>Office sundries</t>
  </si>
  <si>
    <t>Printer cartridges</t>
  </si>
  <si>
    <t>No</t>
  </si>
  <si>
    <t>AC servicing</t>
  </si>
  <si>
    <t>March</t>
  </si>
  <si>
    <t>Notebooks &amp; files</t>
  </si>
  <si>
    <t>Logistics</t>
  </si>
  <si>
    <t>Courier services</t>
  </si>
  <si>
    <t>April</t>
  </si>
  <si>
    <t>Staff bus refuel</t>
  </si>
  <si>
    <t>Internet subscription</t>
  </si>
  <si>
    <t>Generator servicing</t>
  </si>
  <si>
    <t>May</t>
  </si>
  <si>
    <t>Welfare</t>
  </si>
  <si>
    <t>Staff welfare package</t>
  </si>
  <si>
    <t>Fence repair</t>
  </si>
  <si>
    <t>ANSWER SHEET – Budget &amp; Expenses Assignment</t>
  </si>
  <si>
    <t>Fill in ALL yellow cells with your answers from the Expenses sheet.</t>
  </si>
  <si>
    <t>SECTION A – Data Validation (10 marks)</t>
  </si>
  <si>
    <t>Q1. How many expense entries have 'Approved' = No?</t>
  </si>
  <si>
    <t>Your Answer (number):</t>
  </si>
  <si>
    <t>Q2. What is the only Payment Method that is NOT 'Cash' or 'Bank Transfer'?</t>
  </si>
  <si>
    <t>Your Answer (one word):</t>
  </si>
  <si>
    <t>Q3. Which Category appears in ALL 5 months?</t>
  </si>
  <si>
    <t>SECTION B – What-If Analysis (10 marks)</t>
  </si>
  <si>
    <t>Use a What-If scenario: If ALL Cash payments increased by 10%, what would the NEW total for Cash payments be?</t>
  </si>
  <si>
    <t>Original Total Cash Payments (₦):</t>
  </si>
  <si>
    <t>New Total after 10% increase (₦):</t>
  </si>
  <si>
    <t>Q5. If the Electricity bills (Utilities, months Jan/Mar/May) each went up by ₦5,000, what is the new total for those three?</t>
  </si>
  <si>
    <t>Your Answer (₦):</t>
  </si>
  <si>
    <t>SECTION C – Pivot Table (10 marks)</t>
  </si>
  <si>
    <t>Create a Pivot Table on a new sheet named 'Pivot'. Use Category as Rows, Month as Columns, SUM of Amount as Values.</t>
  </si>
  <si>
    <t>Q6. What is the total amount spent on 'Food' across all months (₦)?</t>
  </si>
  <si>
    <t>Q7. Which month had the HIGHEST total expenses overall?</t>
  </si>
  <si>
    <t>Your Answer (month name):</t>
  </si>
  <si>
    <t>Q8. What is the grand total of ALL expenses in the dataset (₦)?</t>
  </si>
  <si>
    <t>Row Labels</t>
  </si>
  <si>
    <t>Grand Total</t>
  </si>
  <si>
    <t>Sum of Amount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</si>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</sst>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3"/>
      <color rgb="FFFFFFFF"/>
      <name val="Arial"/>
    </font>
    <font>
      <i/>
      <sz val="10"/>
      <name val="Arial"/>
    </font>
  </fonts>
  <fills count="8">
    <fill>
      <patternFill patternType="none"/>
    </fill>
    <fill>
      <patternFill patternType="gray125"/>
    </fill>
    <fill>
      <patternFill patternType="solid">
        <fgColor rgb="FF2F5496"/>
      </patternFill>
    </fill>
    <fill>
      <patternFill patternType="solid">
        <fgColor rgb="FFEEF2FA"/>
      </patternFill>
    </fill>
    <fill>
      <patternFill patternType="solid">
        <fgColor rgb="FFFFFFFF"/>
      </patternFill>
    </fill>
    <fill>
      <patternFill patternType="solid">
        <fgColor rgb="FF375623"/>
      </patternFill>
    </fill>
    <fill>
      <patternFill patternType="solid">
        <fgColor rgb="FFE2EFDA"/>
      </patternFill>
    </fill>
    <fill>
      <patternFill patternType="solid">
        <fgColor rgb="FFFFFF99"/>
      </patternFill>
    </fill>
  </fills>
  <borders count="3">
    <border>
      <left/>
      <right/>
      <top/>
      <bottom/>
      <diagonal/>
    </border>
    <border>
      <left style="thin">
        <color rgb="FFB8CCE4"/>
      </left>
      <right style="thin">
        <color rgb="FFB8CCE4"/>
      </right>
      <top style="thin">
        <color rgb="FFB8CCE4"/>
      </top>
      <bottom style="thin">
        <color rgb="FFB8CCE4"/>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left"/>
    </xf>
    <xf numFmtId="0" fontId="2" fillId="4" borderId="1" xfId="0" applyFont="1" applyFill="1" applyBorder="1" applyAlignment="1">
      <alignment horizontal="center"/>
    </xf>
    <xf numFmtId="0" fontId="2" fillId="4" borderId="1" xfId="0" applyFont="1" applyFill="1" applyBorder="1" applyAlignment="1">
      <alignment horizontal="left"/>
    </xf>
    <xf numFmtId="0" fontId="2" fillId="0" borderId="0" xfId="0" applyFont="1"/>
    <xf numFmtId="0" fontId="0" fillId="7" borderId="2" xfId="0" applyFill="1" applyBorder="1" applyAlignment="1">
      <alignment horizontal="center"/>
    </xf>
    <xf numFmtId="0" fontId="4" fillId="6" borderId="0" xfId="0" applyFont="1" applyFill="1"/>
    <xf numFmtId="0" fontId="0" fillId="0" borderId="0" xfId="0"/>
    <xf numFmtId="0" fontId="3" fillId="5" borderId="0" xfId="0" applyFont="1" applyFill="1" applyAlignment="1">
      <alignment horizontal="center" vertical="center"/>
    </xf>
    <xf numFmtId="0" fontId="1" fillId="5" borderId="0" xfId="0" applyFont="1" applyFill="1" applyAlignment="1">
      <alignment horizontal="left" vertical="center"/>
    </xf>
    <xf numFmtId="0" fontId="4"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3" fontId="0" fillId="7" borderId="2" xfId="0" applyNumberFormat="1" applyFill="1" applyBorder="1" applyAlignment="1">
      <alignment horizontal="center"/>
    </xf>
    <xf numFmtId="0" fontId="0" fillId="0" borderId="0" xfId="0" applyNumberFormat="1"/>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3</xdr:row>
      <xdr:rowOff>95250</xdr:rowOff>
    </xdr:from>
    <xdr:to>
      <xdr:col>8</xdr:col>
      <xdr:colOff>381000</xdr:colOff>
      <xdr:row>16</xdr:row>
      <xdr:rowOff>142875</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15F27A0E-BE71-DC91-544B-F8734696232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695700" y="666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295275</xdr:colOff>
      <xdr:row>3</xdr:row>
      <xdr:rowOff>104775</xdr:rowOff>
    </xdr:from>
    <xdr:to>
      <xdr:col>12</xdr:col>
      <xdr:colOff>295275</xdr:colOff>
      <xdr:row>16</xdr:row>
      <xdr:rowOff>152400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649F889-4413-809E-BF5C-3777720802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48375" y="67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xdr:colOff>
      <xdr:row>7</xdr:row>
      <xdr:rowOff>85725</xdr:rowOff>
    </xdr:from>
    <xdr:to>
      <xdr:col>11</xdr:col>
      <xdr:colOff>9525</xdr:colOff>
      <xdr:row>20</xdr:row>
      <xdr:rowOff>133350</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96EDAE6A-AFC3-A841-3E39-CA1861DCD6A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667375"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304800</xdr:colOff>
      <xdr:row>3</xdr:row>
      <xdr:rowOff>28575</xdr:rowOff>
    </xdr:from>
    <xdr:to>
      <xdr:col>14</xdr:col>
      <xdr:colOff>304800</xdr:colOff>
      <xdr:row>16</xdr:row>
      <xdr:rowOff>76200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B4FEA3EF-0982-5F4C-34B1-13A5AD1E88C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791450" y="600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90045439815" createdVersion="8" refreshedVersion="8" minRefreshableVersion="3" recordCount="25" xr:uid="{DA730F9C-1E7D-4D9F-B1FA-A04CF09119A0}">
  <cacheSource type="worksheet">
    <worksheetSource ref="A1:F26" sheet="Expenses"/>
  </cacheSource>
  <cacheFields count="6">
    <cacheField name="Month" numFmtId="0">
      <sharedItems count="5">
        <s v="January"/>
        <s v="February"/>
        <s v="March"/>
        <s v="April"/>
        <s v="May"/>
      </sharedItems>
    </cacheField>
    <cacheField name="Category" numFmtId="0">
      <sharedItems count="9">
        <s v="Food"/>
        <s v="Transport"/>
        <s v="Utilities"/>
        <s v="Stationery"/>
        <s v="Maintenance"/>
        <s v="Entertainment"/>
        <s v="Miscellaneous"/>
        <s v="Logistics"/>
        <s v="Welfare"/>
      </sharedItems>
    </cacheField>
    <cacheField name="Description" numFmtId="0">
      <sharedItems/>
    </cacheField>
    <cacheField name="Amount (₦)" numFmtId="0">
      <sharedItems containsSemiMixedTypes="0" containsString="0" containsNumber="1" containsInteger="1" minValue="5500" maxValue="60000"/>
    </cacheField>
    <cacheField name="Payment Method" numFmtId="0">
      <sharedItems/>
    </cacheField>
    <cacheField name="Approved" numFmtId="0">
      <sharedItems/>
    </cacheField>
  </cacheFields>
  <extLst>
    <ext xmlns:x14="http://schemas.microsoft.com/office/spreadsheetml/2009/9/main" uri="{725AE2AE-9491-48be-B2B4-4EB974FC3084}">
      <x14:pivotCacheDefinition pivotCacheId="1759926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s v="Cafeteria supplies"/>
    <n v="45000"/>
    <s v="Cash"/>
    <s v="Yes"/>
  </r>
  <r>
    <x v="0"/>
    <x v="1"/>
    <s v="Fuel allowance"/>
    <n v="30000"/>
    <s v="Bank Transfer"/>
    <s v="Yes"/>
  </r>
  <r>
    <x v="0"/>
    <x v="2"/>
    <s v="Electricity bill"/>
    <n v="22000"/>
    <s v="Bank Transfer"/>
    <s v="Yes"/>
  </r>
  <r>
    <x v="0"/>
    <x v="3"/>
    <s v="Office paper &amp; pens"/>
    <n v="8500"/>
    <s v="Cash"/>
    <s v="Yes"/>
  </r>
  <r>
    <x v="0"/>
    <x v="4"/>
    <s v="Generator repair"/>
    <n v="55000"/>
    <s v="Cheque"/>
    <s v="Yes"/>
  </r>
  <r>
    <x v="1"/>
    <x v="0"/>
    <s v="Cafeteria supplies"/>
    <n v="47000"/>
    <s v="Cash"/>
    <s v="Yes"/>
  </r>
  <r>
    <x v="1"/>
    <x v="5"/>
    <s v="Team lunch outing"/>
    <n v="28000"/>
    <s v="Cash"/>
    <s v="Yes"/>
  </r>
  <r>
    <x v="1"/>
    <x v="6"/>
    <s v="Office sundries"/>
    <n v="9500"/>
    <s v="Bank Transfer"/>
    <s v="Yes"/>
  </r>
  <r>
    <x v="1"/>
    <x v="3"/>
    <s v="Printer cartridges"/>
    <n v="15000"/>
    <s v="Cash"/>
    <s v="No"/>
  </r>
  <r>
    <x v="1"/>
    <x v="4"/>
    <s v="AC servicing"/>
    <n v="40000"/>
    <s v="Bank Transfer"/>
    <s v="Yes"/>
  </r>
  <r>
    <x v="2"/>
    <x v="0"/>
    <s v="Cafeteria supplies"/>
    <n v="50000"/>
    <s v="Cash"/>
    <s v="Yes"/>
  </r>
  <r>
    <x v="2"/>
    <x v="1"/>
    <s v="Fuel allowance"/>
    <n v="32000"/>
    <s v="Bank Transfer"/>
    <s v="Yes"/>
  </r>
  <r>
    <x v="2"/>
    <x v="2"/>
    <s v="Electricity bill"/>
    <n v="25000"/>
    <s v="Bank Transfer"/>
    <s v="Yes"/>
  </r>
  <r>
    <x v="2"/>
    <x v="3"/>
    <s v="Notebooks &amp; files"/>
    <n v="6000"/>
    <s v="Cash"/>
    <s v="Yes"/>
  </r>
  <r>
    <x v="2"/>
    <x v="7"/>
    <s v="Courier services"/>
    <n v="18000"/>
    <s v="Cash"/>
    <s v="Yes"/>
  </r>
  <r>
    <x v="3"/>
    <x v="0"/>
    <s v="Cafeteria supplies"/>
    <n v="52000"/>
    <s v="Cash"/>
    <s v="Yes"/>
  </r>
  <r>
    <x v="3"/>
    <x v="1"/>
    <s v="Staff bus refuel"/>
    <n v="31000"/>
    <s v="Cash"/>
    <s v="Yes"/>
  </r>
  <r>
    <x v="3"/>
    <x v="2"/>
    <s v="Internet subscription"/>
    <n v="35000"/>
    <s v="Bank Transfer"/>
    <s v="Yes"/>
  </r>
  <r>
    <x v="3"/>
    <x v="3"/>
    <s v="Office paper &amp; pens"/>
    <n v="7500"/>
    <s v="Cash"/>
    <s v="No"/>
  </r>
  <r>
    <x v="3"/>
    <x v="4"/>
    <s v="Generator servicing"/>
    <n v="60000"/>
    <s v="Cheque"/>
    <s v="Yes"/>
  </r>
  <r>
    <x v="4"/>
    <x v="0"/>
    <s v="Cafeteria supplies"/>
    <n v="48000"/>
    <s v="Cash"/>
    <s v="Yes"/>
  </r>
  <r>
    <x v="4"/>
    <x v="1"/>
    <s v="Fuel allowance"/>
    <n v="29000"/>
    <s v="Bank Transfer"/>
    <s v="Yes"/>
  </r>
  <r>
    <x v="4"/>
    <x v="2"/>
    <s v="Electricity bill"/>
    <n v="23000"/>
    <s v="Bank Transfer"/>
    <s v="Yes"/>
  </r>
  <r>
    <x v="4"/>
    <x v="8"/>
    <s v="Staff welfare package"/>
    <n v="5500"/>
    <s v="Cash"/>
    <s v="Yes"/>
  </r>
  <r>
    <x v="4"/>
    <x v="4"/>
    <s v="Fence repair"/>
    <n v="27000"/>
    <s v="Cash"/>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731DC-B84C-4D96-85FE-9F3C52134AE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6">
    <pivotField axis="axisRow" showAll="0">
      <items count="6">
        <item x="0"/>
        <item x="1"/>
        <item x="2"/>
        <item x="3"/>
        <item x="4"/>
        <item t="default"/>
      </items>
    </pivotField>
    <pivotField axis="axisRow" showAll="0">
      <items count="10">
        <item h="1" x="5"/>
        <item x="0"/>
        <item h="1" x="7"/>
        <item h="1" x="4"/>
        <item h="1" x="6"/>
        <item h="1" x="3"/>
        <item h="1" x="1"/>
        <item h="1" x="2"/>
        <item h="1" x="8"/>
        <item t="default"/>
      </items>
    </pivotField>
    <pivotField showAll="0"/>
    <pivotField showAll="0"/>
    <pivotField showAll="0"/>
    <pivotField showAll="0"/>
  </pivotFields>
  <rowFields count="2">
    <field x="0"/>
    <field x="1"/>
  </rowFields>
  <rowItems count="11">
    <i>
      <x/>
    </i>
    <i r="1">
      <x v="1"/>
    </i>
    <i>
      <x v="1"/>
    </i>
    <i r="1">
      <x v="1"/>
    </i>
    <i>
      <x v="2"/>
    </i>
    <i r="1">
      <x v="1"/>
    </i>
    <i>
      <x v="3"/>
    </i>
    <i r="1">
      <x v="1"/>
    </i>
    <i>
      <x v="4"/>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4B3EA-CA8B-45C1-9198-32CBE830701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3" firstHeaderRow="1" firstDataRow="2" firstDataCol="1"/>
  <pivotFields count="6">
    <pivotField axis="axisCol" showAll="0">
      <items count="6">
        <item x="0"/>
        <item x="1"/>
        <item x="2"/>
        <item x="3"/>
        <item x="4"/>
        <item t="default"/>
      </items>
    </pivotField>
    <pivotField axis="axisRow" showAll="0">
      <items count="10">
        <item x="5"/>
        <item x="0"/>
        <item x="7"/>
        <item x="4"/>
        <item x="6"/>
        <item x="3"/>
        <item x="1"/>
        <item x="2"/>
        <item h="1" x="8"/>
        <item t="default"/>
      </items>
    </pivotField>
    <pivotField showAll="0"/>
    <pivotField dataField="1" showAll="0"/>
    <pivotField showAll="0"/>
    <pivotField showAll="0"/>
  </pivotFields>
  <rowFields count="1">
    <field x="1"/>
  </rowFields>
  <rowItems count="9">
    <i>
      <x/>
    </i>
    <i>
      <x v="1"/>
    </i>
    <i>
      <x v="2"/>
    </i>
    <i>
      <x v="3"/>
    </i>
    <i>
      <x v="4"/>
    </i>
    <i>
      <x v="5"/>
    </i>
    <i>
      <x v="6"/>
    </i>
    <i>
      <x v="7"/>
    </i>
    <i t="grand">
      <x/>
    </i>
  </rowItems>
  <colFields count="1">
    <field x="0"/>
  </colFields>
  <colItems count="6">
    <i>
      <x/>
    </i>
    <i>
      <x v="1"/>
    </i>
    <i>
      <x v="2"/>
    </i>
    <i>
      <x v="3"/>
    </i>
    <i>
      <x v="4"/>
    </i>
    <i t="grand">
      <x/>
    </i>
  </colItems>
  <dataFields count="1">
    <dataField name="Sum of Amount (₦)"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8747A86-E2A7-42FA-A576-8FA3DDDE2CAC}" sourceName="Month">
  <pivotTables>
    <pivotTable tabId="3" name="PivotTable1"/>
  </pivotTables>
  <data>
    <tabular pivotCacheId="1759926184">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201BB4-6F00-4B72-BBD9-1FB5662CAFD5}" sourceName="Category">
  <pivotTables>
    <pivotTable tabId="3" name="PivotTable1"/>
  </pivotTables>
  <data>
    <tabular pivotCacheId="1759926184">
      <items count="9">
        <i x="5"/>
        <i x="0" s="1"/>
        <i x="7"/>
        <i x="4"/>
        <i x="6"/>
        <i x="3"/>
        <i x="1"/>
        <i x="2"/>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9E394FE-C8A1-4313-BDEA-C0FF0AB22BD2}" sourceName="Month">
  <pivotTables>
    <pivotTable tabId="4" name="PivotTable2"/>
  </pivotTables>
  <data>
    <tabular pivotCacheId="1759926184">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3A0956B-8E25-4D33-871F-84A34346ABCD}" sourceName="Category">
  <pivotTables>
    <pivotTable tabId="4" name="PivotTable2"/>
  </pivotTables>
  <data>
    <tabular pivotCacheId="1759926184">
      <items count="9">
        <i x="5" s="1"/>
        <i x="0" s="1"/>
        <i x="7" s="1"/>
        <i x="4" s="1"/>
        <i x="6" s="1"/>
        <i x="3" s="1"/>
        <i x="1" s="1"/>
        <i x="2" s="1"/>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CEA54E6-780A-45D0-9D2D-13B1AABB0B07}" cache="Slicer_Month" caption="Month" rowHeight="241300"/>
  <slicer name="Category" xr10:uid="{3E62F73B-15D9-4513-82E4-74758B270B7A}"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7E23134-0D07-4F71-BDD5-4409F052C1DE}" cache="Slicer_Month1" caption="Month" rowHeight="241300"/>
  <slicer name="Category 1" xr10:uid="{6A26E8A5-ACB6-4BA3-95D6-5572BC7FB058}" cache="Slicer_Category1"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7DC6-CB8B-4C8C-8C25-9917C515A7D3}">
  <dimension ref="A3:A14"/>
  <sheetViews>
    <sheetView workbookViewId="0">
      <selection activeCell="C23" sqref="C23"/>
    </sheetView>
  </sheetViews>
  <sheetFormatPr defaultRowHeight="15" x14ac:dyDescent="0.25"/>
  <cols>
    <col min="1" max="1" width="13.140625" bestFit="1" customWidth="1"/>
  </cols>
  <sheetData>
    <row r="3" spans="1:1" x14ac:dyDescent="0.25">
      <c r="A3" s="13" t="s">
        <v>61</v>
      </c>
    </row>
    <row r="4" spans="1:1" x14ac:dyDescent="0.25">
      <c r="A4" s="14" t="s">
        <v>6</v>
      </c>
    </row>
    <row r="5" spans="1:1" x14ac:dyDescent="0.25">
      <c r="A5" s="15" t="s">
        <v>7</v>
      </c>
    </row>
    <row r="6" spans="1:1" x14ac:dyDescent="0.25">
      <c r="A6" s="14" t="s">
        <v>21</v>
      </c>
    </row>
    <row r="7" spans="1:1" x14ac:dyDescent="0.25">
      <c r="A7" s="15" t="s">
        <v>7</v>
      </c>
    </row>
    <row r="8" spans="1:1" x14ac:dyDescent="0.25">
      <c r="A8" s="14" t="s">
        <v>29</v>
      </c>
    </row>
    <row r="9" spans="1:1" x14ac:dyDescent="0.25">
      <c r="A9" s="15" t="s">
        <v>7</v>
      </c>
    </row>
    <row r="10" spans="1:1" x14ac:dyDescent="0.25">
      <c r="A10" s="14" t="s">
        <v>33</v>
      </c>
    </row>
    <row r="11" spans="1:1" x14ac:dyDescent="0.25">
      <c r="A11" s="15" t="s">
        <v>7</v>
      </c>
    </row>
    <row r="12" spans="1:1" x14ac:dyDescent="0.25">
      <c r="A12" s="14" t="s">
        <v>37</v>
      </c>
    </row>
    <row r="13" spans="1:1" x14ac:dyDescent="0.25">
      <c r="A13" s="15" t="s">
        <v>7</v>
      </c>
    </row>
    <row r="14" spans="1:1" x14ac:dyDescent="0.25">
      <c r="A14" s="14" t="s">
        <v>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03DAF-8787-4A86-B07D-02411BBC8683}">
  <dimension ref="A3:G13"/>
  <sheetViews>
    <sheetView tabSelected="1" workbookViewId="0">
      <selection activeCell="O19" sqref="O19"/>
    </sheetView>
  </sheetViews>
  <sheetFormatPr defaultRowHeight="15" x14ac:dyDescent="0.25"/>
  <cols>
    <col min="1" max="1" width="18.28515625" bestFit="1" customWidth="1"/>
    <col min="2" max="2" width="16.28515625" bestFit="1" customWidth="1"/>
    <col min="3" max="3" width="8.85546875" bestFit="1" customWidth="1"/>
    <col min="4" max="6" width="7" bestFit="1" customWidth="1"/>
    <col min="7" max="7" width="11.28515625" bestFit="1" customWidth="1"/>
  </cols>
  <sheetData>
    <row r="3" spans="1:7" x14ac:dyDescent="0.25">
      <c r="A3" s="13" t="s">
        <v>63</v>
      </c>
      <c r="B3" s="13" t="s">
        <v>64</v>
      </c>
    </row>
    <row r="4" spans="1:7" x14ac:dyDescent="0.25">
      <c r="A4" s="13" t="s">
        <v>61</v>
      </c>
      <c r="B4" t="s">
        <v>6</v>
      </c>
      <c r="C4" t="s">
        <v>21</v>
      </c>
      <c r="D4" t="s">
        <v>29</v>
      </c>
      <c r="E4" t="s">
        <v>33</v>
      </c>
      <c r="F4" t="s">
        <v>37</v>
      </c>
      <c r="G4" t="s">
        <v>62</v>
      </c>
    </row>
    <row r="5" spans="1:7" x14ac:dyDescent="0.25">
      <c r="A5" s="14" t="s">
        <v>22</v>
      </c>
      <c r="B5" s="18"/>
      <c r="C5" s="18">
        <v>28000</v>
      </c>
      <c r="D5" s="18"/>
      <c r="E5" s="18"/>
      <c r="F5" s="18"/>
      <c r="G5" s="18">
        <v>28000</v>
      </c>
    </row>
    <row r="6" spans="1:7" x14ac:dyDescent="0.25">
      <c r="A6" s="14" t="s">
        <v>7</v>
      </c>
      <c r="B6" s="18">
        <v>45000</v>
      </c>
      <c r="C6" s="18">
        <v>47000</v>
      </c>
      <c r="D6" s="18">
        <v>50000</v>
      </c>
      <c r="E6" s="18">
        <v>52000</v>
      </c>
      <c r="F6" s="18">
        <v>48000</v>
      </c>
      <c r="G6" s="18">
        <v>242000</v>
      </c>
    </row>
    <row r="7" spans="1:7" x14ac:dyDescent="0.25">
      <c r="A7" s="14" t="s">
        <v>31</v>
      </c>
      <c r="B7" s="18"/>
      <c r="C7" s="18"/>
      <c r="D7" s="18">
        <v>18000</v>
      </c>
      <c r="E7" s="18"/>
      <c r="F7" s="18"/>
      <c r="G7" s="18">
        <v>18000</v>
      </c>
    </row>
    <row r="8" spans="1:7" x14ac:dyDescent="0.25">
      <c r="A8" s="14" t="s">
        <v>18</v>
      </c>
      <c r="B8" s="18">
        <v>55000</v>
      </c>
      <c r="C8" s="18">
        <v>40000</v>
      </c>
      <c r="D8" s="18"/>
      <c r="E8" s="18">
        <v>60000</v>
      </c>
      <c r="F8" s="18">
        <v>27000</v>
      </c>
      <c r="G8" s="18">
        <v>182000</v>
      </c>
    </row>
    <row r="9" spans="1:7" x14ac:dyDescent="0.25">
      <c r="A9" s="14" t="s">
        <v>24</v>
      </c>
      <c r="B9" s="18"/>
      <c r="C9" s="18">
        <v>9500</v>
      </c>
      <c r="D9" s="18"/>
      <c r="E9" s="18"/>
      <c r="F9" s="18"/>
      <c r="G9" s="18">
        <v>9500</v>
      </c>
    </row>
    <row r="10" spans="1:7" x14ac:dyDescent="0.25">
      <c r="A10" s="14" t="s">
        <v>16</v>
      </c>
      <c r="B10" s="18">
        <v>8500</v>
      </c>
      <c r="C10" s="18">
        <v>15000</v>
      </c>
      <c r="D10" s="18">
        <v>6000</v>
      </c>
      <c r="E10" s="18">
        <v>7500</v>
      </c>
      <c r="F10" s="18"/>
      <c r="G10" s="18">
        <v>37000</v>
      </c>
    </row>
    <row r="11" spans="1:7" x14ac:dyDescent="0.25">
      <c r="A11" s="14" t="s">
        <v>11</v>
      </c>
      <c r="B11" s="18">
        <v>30000</v>
      </c>
      <c r="C11" s="18"/>
      <c r="D11" s="18">
        <v>32000</v>
      </c>
      <c r="E11" s="18">
        <v>31000</v>
      </c>
      <c r="F11" s="18">
        <v>29000</v>
      </c>
      <c r="G11" s="18">
        <v>122000</v>
      </c>
    </row>
    <row r="12" spans="1:7" x14ac:dyDescent="0.25">
      <c r="A12" s="14" t="s">
        <v>14</v>
      </c>
      <c r="B12" s="18">
        <v>22000</v>
      </c>
      <c r="C12" s="18"/>
      <c r="D12" s="18">
        <v>25000</v>
      </c>
      <c r="E12" s="18">
        <v>35000</v>
      </c>
      <c r="F12" s="18">
        <v>23000</v>
      </c>
      <c r="G12" s="18">
        <v>105000</v>
      </c>
    </row>
    <row r="13" spans="1:7" x14ac:dyDescent="0.25">
      <c r="A13" s="14" t="s">
        <v>62</v>
      </c>
      <c r="B13" s="18">
        <v>160500</v>
      </c>
      <c r="C13" s="18">
        <v>139500</v>
      </c>
      <c r="D13" s="18">
        <v>131000</v>
      </c>
      <c r="E13" s="18">
        <v>185500</v>
      </c>
      <c r="F13" s="18">
        <v>127000</v>
      </c>
      <c r="G13" s="18">
        <v>743500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opLeftCell="A19" workbookViewId="0">
      <selection activeCell="K4" sqref="K4"/>
    </sheetView>
  </sheetViews>
  <sheetFormatPr defaultRowHeight="15" x14ac:dyDescent="0.25"/>
  <cols>
    <col min="1" max="1" width="12" customWidth="1"/>
    <col min="2" max="2" width="14" customWidth="1"/>
    <col min="3" max="3" width="28" customWidth="1"/>
    <col min="4" max="5" width="18" customWidth="1"/>
    <col min="6" max="6" width="12" customWidth="1"/>
  </cols>
  <sheetData>
    <row r="1" spans="1:12" ht="20.100000000000001" customHeight="1" x14ac:dyDescent="0.25">
      <c r="A1" s="1" t="s">
        <v>0</v>
      </c>
      <c r="B1" s="1" t="s">
        <v>1</v>
      </c>
      <c r="C1" s="1" t="s">
        <v>2</v>
      </c>
      <c r="D1" s="1" t="s">
        <v>3</v>
      </c>
      <c r="E1" s="1" t="s">
        <v>4</v>
      </c>
      <c r="F1" s="1" t="s">
        <v>5</v>
      </c>
    </row>
    <row r="2" spans="1:12" x14ac:dyDescent="0.25">
      <c r="A2" s="2" t="s">
        <v>6</v>
      </c>
      <c r="B2" s="2" t="s">
        <v>7</v>
      </c>
      <c r="C2" s="3" t="s">
        <v>8</v>
      </c>
      <c r="D2" s="2">
        <v>45000</v>
      </c>
      <c r="E2" s="2" t="s">
        <v>9</v>
      </c>
      <c r="F2" s="2" t="s">
        <v>10</v>
      </c>
    </row>
    <row r="3" spans="1:12" x14ac:dyDescent="0.25">
      <c r="A3" s="4" t="s">
        <v>6</v>
      </c>
      <c r="B3" s="4" t="s">
        <v>11</v>
      </c>
      <c r="C3" s="5" t="s">
        <v>12</v>
      </c>
      <c r="D3" s="4">
        <v>30000</v>
      </c>
      <c r="E3" s="4" t="s">
        <v>13</v>
      </c>
      <c r="F3" s="4" t="s">
        <v>10</v>
      </c>
      <c r="J3">
        <f>SUMIF(C:C,"Electricity bill",D:D)</f>
        <v>70000</v>
      </c>
      <c r="K3">
        <f>J3+15000</f>
        <v>85000</v>
      </c>
    </row>
    <row r="4" spans="1:12" x14ac:dyDescent="0.25">
      <c r="A4" s="2" t="s">
        <v>6</v>
      </c>
      <c r="B4" s="2" t="s">
        <v>14</v>
      </c>
      <c r="C4" s="3" t="s">
        <v>15</v>
      </c>
      <c r="D4" s="2">
        <v>22000</v>
      </c>
      <c r="E4" s="2" t="s">
        <v>13</v>
      </c>
      <c r="F4" s="2" t="s">
        <v>10</v>
      </c>
    </row>
    <row r="5" spans="1:12" x14ac:dyDescent="0.25">
      <c r="A5" s="4" t="s">
        <v>6</v>
      </c>
      <c r="B5" s="4" t="s">
        <v>16</v>
      </c>
      <c r="C5" s="5" t="s">
        <v>17</v>
      </c>
      <c r="D5" s="4">
        <v>8500</v>
      </c>
      <c r="E5" s="4" t="s">
        <v>9</v>
      </c>
      <c r="F5" s="4" t="s">
        <v>10</v>
      </c>
    </row>
    <row r="6" spans="1:12" x14ac:dyDescent="0.25">
      <c r="A6" s="2" t="s">
        <v>6</v>
      </c>
      <c r="B6" s="2" t="s">
        <v>18</v>
      </c>
      <c r="C6" s="3" t="s">
        <v>19</v>
      </c>
      <c r="D6" s="2">
        <v>55000</v>
      </c>
      <c r="E6" s="2" t="s">
        <v>20</v>
      </c>
      <c r="F6" s="2" t="s">
        <v>10</v>
      </c>
    </row>
    <row r="7" spans="1:12" x14ac:dyDescent="0.25">
      <c r="A7" s="4" t="s">
        <v>21</v>
      </c>
      <c r="B7" s="4" t="s">
        <v>7</v>
      </c>
      <c r="C7" s="5" t="s">
        <v>8</v>
      </c>
      <c r="D7" s="4">
        <v>47000</v>
      </c>
      <c r="E7" s="4" t="s">
        <v>9</v>
      </c>
      <c r="F7" s="4" t="s">
        <v>10</v>
      </c>
      <c r="J7">
        <f>COUNTIF(F:F,"No")</f>
        <v>2</v>
      </c>
    </row>
    <row r="8" spans="1:12" x14ac:dyDescent="0.25">
      <c r="A8" s="2" t="s">
        <v>21</v>
      </c>
      <c r="B8" s="2" t="s">
        <v>22</v>
      </c>
      <c r="C8" s="3" t="s">
        <v>23</v>
      </c>
      <c r="D8" s="2">
        <v>28000</v>
      </c>
      <c r="E8" s="2" t="s">
        <v>9</v>
      </c>
      <c r="F8" s="2" t="s">
        <v>10</v>
      </c>
    </row>
    <row r="9" spans="1:12" x14ac:dyDescent="0.25">
      <c r="A9" s="4" t="s">
        <v>21</v>
      </c>
      <c r="B9" s="4" t="s">
        <v>24</v>
      </c>
      <c r="C9" s="5" t="s">
        <v>25</v>
      </c>
      <c r="D9" s="4">
        <v>9500</v>
      </c>
      <c r="E9" s="4" t="s">
        <v>13</v>
      </c>
      <c r="F9" s="4" t="s">
        <v>10</v>
      </c>
      <c r="L9">
        <f>K10*1.1</f>
        <v>427350.00000000006</v>
      </c>
    </row>
    <row r="10" spans="1:12" x14ac:dyDescent="0.25">
      <c r="A10" s="2" t="s">
        <v>21</v>
      </c>
      <c r="B10" s="2" t="s">
        <v>16</v>
      </c>
      <c r="C10" s="3" t="s">
        <v>26</v>
      </c>
      <c r="D10" s="2">
        <v>15000</v>
      </c>
      <c r="E10" s="2" t="s">
        <v>9</v>
      </c>
      <c r="F10" s="2" t="s">
        <v>27</v>
      </c>
      <c r="K10">
        <f>SUMIF(E:E,"Cash",D:D)</f>
        <v>388500</v>
      </c>
    </row>
    <row r="11" spans="1:12" x14ac:dyDescent="0.25">
      <c r="A11" s="4" t="s">
        <v>21</v>
      </c>
      <c r="B11" s="4" t="s">
        <v>18</v>
      </c>
      <c r="C11" s="5" t="s">
        <v>28</v>
      </c>
      <c r="D11" s="4">
        <v>40000</v>
      </c>
      <c r="E11" s="4" t="s">
        <v>13</v>
      </c>
      <c r="F11" s="4" t="s">
        <v>10</v>
      </c>
    </row>
    <row r="12" spans="1:12" x14ac:dyDescent="0.25">
      <c r="A12" s="2" t="s">
        <v>29</v>
      </c>
      <c r="B12" s="2" t="s">
        <v>7</v>
      </c>
      <c r="C12" s="3" t="s">
        <v>8</v>
      </c>
      <c r="D12" s="2">
        <v>50000</v>
      </c>
      <c r="E12" s="2" t="s">
        <v>9</v>
      </c>
      <c r="F12" s="2" t="s">
        <v>10</v>
      </c>
      <c r="L12">
        <f>K10*J13</f>
        <v>38850</v>
      </c>
    </row>
    <row r="13" spans="1:12" x14ac:dyDescent="0.25">
      <c r="A13" s="4" t="s">
        <v>29</v>
      </c>
      <c r="B13" s="4" t="s">
        <v>11</v>
      </c>
      <c r="C13" s="5" t="s">
        <v>12</v>
      </c>
      <c r="D13" s="4">
        <v>32000</v>
      </c>
      <c r="E13" s="4" t="s">
        <v>13</v>
      </c>
      <c r="F13" s="4" t="s">
        <v>10</v>
      </c>
      <c r="J13" s="16">
        <v>0.1</v>
      </c>
    </row>
    <row r="14" spans="1:12" x14ac:dyDescent="0.25">
      <c r="A14" s="2" t="s">
        <v>29</v>
      </c>
      <c r="B14" s="2" t="s">
        <v>14</v>
      </c>
      <c r="C14" s="3" t="s">
        <v>15</v>
      </c>
      <c r="D14" s="2">
        <v>25000</v>
      </c>
      <c r="E14" s="2" t="s">
        <v>13</v>
      </c>
      <c r="F14" s="2" t="s">
        <v>10</v>
      </c>
    </row>
    <row r="15" spans="1:12" x14ac:dyDescent="0.25">
      <c r="A15" s="4" t="s">
        <v>29</v>
      </c>
      <c r="B15" s="4" t="s">
        <v>16</v>
      </c>
      <c r="C15" s="5" t="s">
        <v>30</v>
      </c>
      <c r="D15" s="4">
        <v>6000</v>
      </c>
      <c r="E15" s="4" t="s">
        <v>9</v>
      </c>
      <c r="F15" s="4" t="s">
        <v>10</v>
      </c>
    </row>
    <row r="16" spans="1:12" x14ac:dyDescent="0.25">
      <c r="A16" s="2" t="s">
        <v>29</v>
      </c>
      <c r="B16" s="2" t="s">
        <v>31</v>
      </c>
      <c r="C16" s="3" t="s">
        <v>32</v>
      </c>
      <c r="D16" s="2">
        <v>18000</v>
      </c>
      <c r="E16" s="2" t="s">
        <v>9</v>
      </c>
      <c r="F16" s="2" t="s">
        <v>10</v>
      </c>
    </row>
    <row r="17" spans="1:6" x14ac:dyDescent="0.25">
      <c r="A17" s="4" t="s">
        <v>33</v>
      </c>
      <c r="B17" s="4" t="s">
        <v>7</v>
      </c>
      <c r="C17" s="5" t="s">
        <v>8</v>
      </c>
      <c r="D17" s="4">
        <v>52000</v>
      </c>
      <c r="E17" s="4" t="s">
        <v>9</v>
      </c>
      <c r="F17" s="4" t="s">
        <v>10</v>
      </c>
    </row>
    <row r="18" spans="1:6" x14ac:dyDescent="0.25">
      <c r="A18" s="2" t="s">
        <v>33</v>
      </c>
      <c r="B18" s="2" t="s">
        <v>11</v>
      </c>
      <c r="C18" s="3" t="s">
        <v>34</v>
      </c>
      <c r="D18" s="2">
        <v>31000</v>
      </c>
      <c r="E18" s="2" t="s">
        <v>9</v>
      </c>
      <c r="F18" s="2" t="s">
        <v>10</v>
      </c>
    </row>
    <row r="19" spans="1:6" x14ac:dyDescent="0.25">
      <c r="A19" s="4" t="s">
        <v>33</v>
      </c>
      <c r="B19" s="4" t="s">
        <v>14</v>
      </c>
      <c r="C19" s="5" t="s">
        <v>35</v>
      </c>
      <c r="D19" s="4">
        <v>35000</v>
      </c>
      <c r="E19" s="4" t="s">
        <v>13</v>
      </c>
      <c r="F19" s="4" t="s">
        <v>10</v>
      </c>
    </row>
    <row r="20" spans="1:6" x14ac:dyDescent="0.25">
      <c r="A20" s="2" t="s">
        <v>33</v>
      </c>
      <c r="B20" s="2" t="s">
        <v>16</v>
      </c>
      <c r="C20" s="3" t="s">
        <v>17</v>
      </c>
      <c r="D20" s="2">
        <v>7500</v>
      </c>
      <c r="E20" s="2" t="s">
        <v>9</v>
      </c>
      <c r="F20" s="2" t="s">
        <v>27</v>
      </c>
    </row>
    <row r="21" spans="1:6" x14ac:dyDescent="0.25">
      <c r="A21" s="4" t="s">
        <v>33</v>
      </c>
      <c r="B21" s="4" t="s">
        <v>18</v>
      </c>
      <c r="C21" s="5" t="s">
        <v>36</v>
      </c>
      <c r="D21" s="4">
        <v>60000</v>
      </c>
      <c r="E21" s="4" t="s">
        <v>20</v>
      </c>
      <c r="F21" s="4" t="s">
        <v>10</v>
      </c>
    </row>
    <row r="22" spans="1:6" x14ac:dyDescent="0.25">
      <c r="A22" s="2" t="s">
        <v>37</v>
      </c>
      <c r="B22" s="2" t="s">
        <v>7</v>
      </c>
      <c r="C22" s="3" t="s">
        <v>8</v>
      </c>
      <c r="D22" s="2">
        <v>48000</v>
      </c>
      <c r="E22" s="2" t="s">
        <v>9</v>
      </c>
      <c r="F22" s="2" t="s">
        <v>10</v>
      </c>
    </row>
    <row r="23" spans="1:6" x14ac:dyDescent="0.25">
      <c r="A23" s="4" t="s">
        <v>37</v>
      </c>
      <c r="B23" s="4" t="s">
        <v>11</v>
      </c>
      <c r="C23" s="5" t="s">
        <v>12</v>
      </c>
      <c r="D23" s="4">
        <v>29000</v>
      </c>
      <c r="E23" s="4" t="s">
        <v>13</v>
      </c>
      <c r="F23" s="4" t="s">
        <v>10</v>
      </c>
    </row>
    <row r="24" spans="1:6" x14ac:dyDescent="0.25">
      <c r="A24" s="2" t="s">
        <v>37</v>
      </c>
      <c r="B24" s="2" t="s">
        <v>14</v>
      </c>
      <c r="C24" s="3" t="s">
        <v>15</v>
      </c>
      <c r="D24" s="2">
        <v>23000</v>
      </c>
      <c r="E24" s="2" t="s">
        <v>13</v>
      </c>
      <c r="F24" s="2" t="s">
        <v>10</v>
      </c>
    </row>
    <row r="25" spans="1:6" x14ac:dyDescent="0.25">
      <c r="A25" s="4" t="s">
        <v>37</v>
      </c>
      <c r="B25" s="4" t="s">
        <v>38</v>
      </c>
      <c r="C25" s="5" t="s">
        <v>39</v>
      </c>
      <c r="D25" s="4">
        <v>5500</v>
      </c>
      <c r="E25" s="4" t="s">
        <v>9</v>
      </c>
      <c r="F25" s="4" t="s">
        <v>10</v>
      </c>
    </row>
    <row r="26" spans="1:6" x14ac:dyDescent="0.25">
      <c r="A26" s="2" t="s">
        <v>37</v>
      </c>
      <c r="B26" s="2" t="s">
        <v>18</v>
      </c>
      <c r="C26" s="3" t="s">
        <v>40</v>
      </c>
      <c r="D26" s="2">
        <v>27000</v>
      </c>
      <c r="E26" s="2" t="s">
        <v>9</v>
      </c>
      <c r="F26" s="2"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selection activeCell="E15" sqref="E15"/>
    </sheetView>
  </sheetViews>
  <sheetFormatPr defaultRowHeight="15" x14ac:dyDescent="0.25"/>
  <cols>
    <col min="1" max="1" width="10" customWidth="1"/>
    <col min="2" max="2" width="55" customWidth="1"/>
    <col min="3" max="3" width="25" customWidth="1"/>
  </cols>
  <sheetData>
    <row r="1" spans="1:3" ht="24.95" customHeight="1" x14ac:dyDescent="0.25">
      <c r="A1" s="10" t="s">
        <v>41</v>
      </c>
      <c r="B1" s="9"/>
      <c r="C1" s="9"/>
    </row>
    <row r="2" spans="1:3" x14ac:dyDescent="0.25">
      <c r="A2" s="12" t="s">
        <v>42</v>
      </c>
      <c r="B2" s="9"/>
      <c r="C2" s="9"/>
    </row>
    <row r="4" spans="1:3" ht="18" customHeight="1" x14ac:dyDescent="0.25">
      <c r="A4" s="11" t="s">
        <v>43</v>
      </c>
      <c r="B4" s="9"/>
      <c r="C4" s="9"/>
    </row>
    <row r="5" spans="1:3" ht="18" customHeight="1" x14ac:dyDescent="0.25">
      <c r="A5" s="8" t="s">
        <v>44</v>
      </c>
      <c r="B5" s="9"/>
      <c r="C5" s="9"/>
    </row>
    <row r="6" spans="1:3" ht="18" customHeight="1" x14ac:dyDescent="0.25">
      <c r="A6" s="6" t="s">
        <v>45</v>
      </c>
      <c r="C6" s="19">
        <v>2</v>
      </c>
    </row>
    <row r="8" spans="1:3" ht="18" customHeight="1" x14ac:dyDescent="0.25">
      <c r="A8" s="8" t="s">
        <v>46</v>
      </c>
      <c r="B8" s="9"/>
      <c r="C8" s="9"/>
    </row>
    <row r="9" spans="1:3" ht="18" customHeight="1" x14ac:dyDescent="0.25">
      <c r="A9" s="6" t="s">
        <v>47</v>
      </c>
      <c r="C9" s="7" t="s">
        <v>20</v>
      </c>
    </row>
    <row r="11" spans="1:3" ht="18" customHeight="1" x14ac:dyDescent="0.25">
      <c r="A11" s="8" t="s">
        <v>48</v>
      </c>
      <c r="B11" s="9"/>
      <c r="C11" s="9"/>
    </row>
    <row r="12" spans="1:3" ht="18" customHeight="1" x14ac:dyDescent="0.25">
      <c r="A12" s="6" t="s">
        <v>47</v>
      </c>
      <c r="C12" s="7" t="s">
        <v>7</v>
      </c>
    </row>
    <row r="14" spans="1:3" ht="18" customHeight="1" x14ac:dyDescent="0.25">
      <c r="A14" s="11" t="s">
        <v>49</v>
      </c>
      <c r="B14" s="9"/>
      <c r="C14" s="9"/>
    </row>
    <row r="15" spans="1:3" ht="18" customHeight="1" x14ac:dyDescent="0.25">
      <c r="A15" s="8" t="s">
        <v>50</v>
      </c>
      <c r="B15" s="9"/>
      <c r="C15" s="9"/>
    </row>
    <row r="16" spans="1:3" ht="18" customHeight="1" x14ac:dyDescent="0.25">
      <c r="A16" s="6" t="s">
        <v>51</v>
      </c>
      <c r="C16" s="7">
        <v>388500</v>
      </c>
    </row>
    <row r="17" spans="1:3" ht="18" customHeight="1" x14ac:dyDescent="0.25">
      <c r="A17" s="6" t="s">
        <v>52</v>
      </c>
      <c r="C17" s="7">
        <v>427350</v>
      </c>
    </row>
    <row r="19" spans="1:3" ht="18" customHeight="1" x14ac:dyDescent="0.25">
      <c r="A19" s="8" t="s">
        <v>53</v>
      </c>
      <c r="B19" s="9"/>
      <c r="C19" s="9"/>
    </row>
    <row r="20" spans="1:3" ht="18" customHeight="1" x14ac:dyDescent="0.25">
      <c r="A20" s="6" t="s">
        <v>54</v>
      </c>
      <c r="C20" s="17">
        <v>85000</v>
      </c>
    </row>
    <row r="22" spans="1:3" ht="18" customHeight="1" x14ac:dyDescent="0.25">
      <c r="A22" s="11" t="s">
        <v>55</v>
      </c>
      <c r="B22" s="9"/>
      <c r="C22" s="9"/>
    </row>
    <row r="23" spans="1:3" ht="18" customHeight="1" x14ac:dyDescent="0.25">
      <c r="A23" s="8" t="s">
        <v>56</v>
      </c>
      <c r="B23" s="9"/>
      <c r="C23" s="9"/>
    </row>
    <row r="24" spans="1:3" ht="18" customHeight="1" x14ac:dyDescent="0.25">
      <c r="A24" s="8" t="s">
        <v>57</v>
      </c>
      <c r="B24" s="9"/>
      <c r="C24" s="9"/>
    </row>
    <row r="25" spans="1:3" ht="18" customHeight="1" x14ac:dyDescent="0.25">
      <c r="A25" s="6" t="s">
        <v>54</v>
      </c>
      <c r="C25" s="7">
        <v>242000</v>
      </c>
    </row>
    <row r="26" spans="1:3" ht="18" customHeight="1" x14ac:dyDescent="0.25">
      <c r="A26" s="8" t="s">
        <v>58</v>
      </c>
      <c r="B26" s="9"/>
      <c r="C26" s="9"/>
    </row>
    <row r="27" spans="1:3" ht="18" customHeight="1" x14ac:dyDescent="0.25">
      <c r="A27" s="6" t="s">
        <v>59</v>
      </c>
      <c r="C27" s="7" t="s">
        <v>33</v>
      </c>
    </row>
    <row r="28" spans="1:3" ht="18" customHeight="1" x14ac:dyDescent="0.25">
      <c r="A28" s="8" t="s">
        <v>60</v>
      </c>
      <c r="B28" s="9"/>
      <c r="C28" s="9"/>
    </row>
    <row r="29" spans="1:3" ht="18" customHeight="1" x14ac:dyDescent="0.25">
      <c r="A29" s="6" t="s">
        <v>54</v>
      </c>
      <c r="C29" s="7">
        <v>743500</v>
      </c>
    </row>
  </sheetData>
  <mergeCells count="14">
    <mergeCell ref="A28:C28"/>
    <mergeCell ref="A19:C19"/>
    <mergeCell ref="A11:C11"/>
    <mergeCell ref="A1:C1"/>
    <mergeCell ref="A5:C5"/>
    <mergeCell ref="A23:C23"/>
    <mergeCell ref="A8:C8"/>
    <mergeCell ref="A14:C14"/>
    <mergeCell ref="A22:C22"/>
    <mergeCell ref="A15:C15"/>
    <mergeCell ref="A4:C4"/>
    <mergeCell ref="A26:C26"/>
    <mergeCell ref="A24:C2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Expenses</vt:lpstr>
      <vt:lpstr>Answer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Abiodun Egbeyemi</cp:lastModifiedBy>
  <dcterms:created xsi:type="dcterms:W3CDTF">2026-03-14T08:46:03Z</dcterms:created>
  <dcterms:modified xsi:type="dcterms:W3CDTF">2026-03-16T21:51:26Z</dcterms:modified>
</cp:coreProperties>
</file>